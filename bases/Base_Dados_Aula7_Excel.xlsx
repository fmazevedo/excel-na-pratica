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Outros computadores\Meu laptop\GDRIVE\ACAD\ESPM\_Curso de Excel\Aula 7\"/>
    </mc:Choice>
  </mc:AlternateContent>
  <xr:revisionPtr revIDLastSave="0" documentId="13_ncr:1_{527CF39A-A6A4-4470-8E48-D51E24EE78FD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Projetos" sheetId="1" r:id="rId1"/>
  </sheets>
  <definedNames>
    <definedName name="_xlnm._FilterDatabase" localSheetId="0" hidden="1">Projetos!$A$5:$L$13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3" i="1" l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</calcChain>
</file>

<file path=xl/sharedStrings.xml><?xml version="1.0" encoding="utf-8"?>
<sst xmlns="http://schemas.openxmlformats.org/spreadsheetml/2006/main" count="39" uniqueCount="30">
  <si>
    <t>Estúdio Criativo Prisma — Painel de Projetos</t>
  </si>
  <si>
    <t>Datas relativas a HOJE. Preencha as colunas amarelas (H a L) com as funções lógicas e de data.</t>
  </si>
  <si>
    <t>Prazo de alerta (dias):</t>
  </si>
  <si>
    <t>Projeto</t>
  </si>
  <si>
    <t>Estágio</t>
  </si>
  <si>
    <t>Prioridade</t>
  </si>
  <si>
    <t>Orçamento</t>
  </si>
  <si>
    <t>Custo atual</t>
  </si>
  <si>
    <t>Início</t>
  </si>
  <si>
    <t>Entrega</t>
  </si>
  <si>
    <t>Duração (dias)</t>
  </si>
  <si>
    <t>Dias restantes</t>
  </si>
  <si>
    <t>Situação do prazo</t>
  </si>
  <si>
    <t>Alerta de custo</t>
  </si>
  <si>
    <t>Acompanhamento</t>
  </si>
  <si>
    <t>Identidade Visual Aurora</t>
  </si>
  <si>
    <t>Em produção</t>
  </si>
  <si>
    <t>Média</t>
  </si>
  <si>
    <t>Campanha Vértice</t>
  </si>
  <si>
    <t>Revisão</t>
  </si>
  <si>
    <t>Alta</t>
  </si>
  <si>
    <t>Site Institucional</t>
  </si>
  <si>
    <t>Rebranding Lumen</t>
  </si>
  <si>
    <t>Briefing</t>
  </si>
  <si>
    <t>Baixa</t>
  </si>
  <si>
    <t>Embalagem Sabor&amp;Cia</t>
  </si>
  <si>
    <t>Vídeo Institucional</t>
  </si>
  <si>
    <t>Catálogo Digital</t>
  </si>
  <si>
    <t>Social Media Q2</t>
  </si>
  <si>
    <t>Concluído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</si>
</sst>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"/>
  </numFmts>
  <fonts count="7" x14ac:knownFonts="1">
    <font>
      <sz val="11"/>
      <color theme="1"/>
      <name val="Calibri"/>
      <family val="2"/>
      <charset val="1"/>
    </font>
    <font>
      <b/>
      <sz val="14"/>
      <color rgb="FF1A1A1A"/>
      <name val="Arial"/>
      <charset val="1"/>
    </font>
    <font>
      <i/>
      <sz val="10"/>
      <color rgb="FF8A8A8A"/>
      <name val="Arial"/>
      <charset val="1"/>
    </font>
    <font>
      <b/>
      <sz val="10"/>
      <color rgb="FFA7023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3C4"/>
        <bgColor rgb="FFFFF6BF"/>
      </patternFill>
    </fill>
    <fill>
      <patternFill patternType="solid">
        <fgColor rgb="FFA70230"/>
        <bgColor rgb="FF800000"/>
      </patternFill>
    </fill>
    <fill>
      <patternFill patternType="solid">
        <fgColor rgb="FFFFF6BF"/>
        <bgColor rgb="FFFFF3C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/>
    <xf numFmtId="14" fontId="6" fillId="0" borderId="1" xfId="0" applyNumberFormat="1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70230"/>
      <rgbColor rgb="FF008000"/>
      <rgbColor rgb="FF000080"/>
      <rgbColor rgb="FF808000"/>
      <rgbColor rgb="FF800080"/>
      <rgbColor rgb="FF008080"/>
      <rgbColor rgb="FFC0C0C0"/>
      <rgbColor rgb="FF8A8A8A"/>
      <rgbColor rgb="FF9999FF"/>
      <rgbColor rgb="FF993366"/>
      <rgbColor rgb="FFFFF6BF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C4"/>
      <rgbColor rgb="FF99CCFF"/>
      <rgbColor rgb="FFFF99CC"/>
      <rgbColor rgb="FFCC99FF"/>
      <rgbColor rgb="FFF8C9D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zoomScaleNormal="100" workbookViewId="0">
      <pane ySplit="5" topLeftCell="A6" activePane="bottomLeft" state="frozen"/>
      <selection pane="bottomLeft" sqref="A1:L1"/>
    </sheetView>
  </sheetViews>
  <sheetFormatPr defaultColWidth="8.6328125" defaultRowHeight="14.5" x14ac:dyDescent="0.35"/>
  <cols>
    <col min="1" max="1" width="22" customWidth="1"/>
    <col min="2" max="2" width="13" customWidth="1"/>
    <col min="3" max="3" width="11" customWidth="1"/>
    <col min="4" max="5" width="12" customWidth="1"/>
    <col min="6" max="7" width="11" customWidth="1"/>
    <col min="8" max="9" width="12" customWidth="1"/>
    <col min="10" max="10" width="15" customWidth="1"/>
    <col min="11" max="11" width="14" customWidth="1"/>
    <col min="12" max="12" width="15" customWidth="1"/>
  </cols>
  <sheetData>
    <row r="1" spans="1:12" ht="18" x14ac:dyDescent="0.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5">
      <c r="A3" s="3" t="s">
        <v>2</v>
      </c>
      <c r="B3" s="4">
        <v>7</v>
      </c>
    </row>
    <row r="5" spans="1:12" ht="26" x14ac:dyDescent="0.3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</row>
    <row r="6" spans="1:12" x14ac:dyDescent="0.35">
      <c r="A6" s="6" t="s">
        <v>15</v>
      </c>
      <c r="B6" s="6" t="s">
        <v>16</v>
      </c>
      <c r="C6" s="7" t="s">
        <v>17</v>
      </c>
      <c r="D6" s="8">
        <v>20000</v>
      </c>
      <c r="E6" s="8">
        <v>15000</v>
      </c>
      <c r="F6" s="9">
        <f ca="1">TODAY()+(-12)</f>
        <v>46301</v>
      </c>
      <c r="G6" s="9">
        <f ca="1">TODAY()+(18)</f>
        <v>46331</v>
      </c>
      <c r="H6" s="10"/>
      <c r="I6" s="10"/>
      <c r="J6" s="10"/>
      <c r="K6" s="10"/>
      <c r="L6" s="10"/>
    </row>
    <row r="7" spans="1:12" x14ac:dyDescent="0.35">
      <c r="A7" s="6" t="s">
        <v>18</v>
      </c>
      <c r="B7" s="6" t="s">
        <v>19</v>
      </c>
      <c r="C7" s="7" t="s">
        <v>20</v>
      </c>
      <c r="D7" s="8">
        <v>45000</v>
      </c>
      <c r="E7" s="8">
        <v>48000</v>
      </c>
      <c r="F7" s="9">
        <f ca="1">TODAY()+(-25)</f>
        <v>46288</v>
      </c>
      <c r="G7" s="9">
        <f ca="1">TODAY()+(3)</f>
        <v>46316</v>
      </c>
      <c r="H7" s="10"/>
      <c r="I7" s="10"/>
      <c r="J7" s="10"/>
      <c r="K7" s="10"/>
      <c r="L7" s="10"/>
    </row>
    <row r="8" spans="1:12" x14ac:dyDescent="0.35">
      <c r="A8" s="6" t="s">
        <v>21</v>
      </c>
      <c r="B8" s="6" t="s">
        <v>16</v>
      </c>
      <c r="C8" s="7" t="s">
        <v>20</v>
      </c>
      <c r="D8" s="8">
        <v>30000</v>
      </c>
      <c r="E8" s="8">
        <v>32000</v>
      </c>
      <c r="F8" s="9">
        <f ca="1">TODAY()+(-35)</f>
        <v>46278</v>
      </c>
      <c r="G8" s="9">
        <f ca="1">TODAY()+(-5)</f>
        <v>46308</v>
      </c>
      <c r="H8" s="10"/>
      <c r="I8" s="10"/>
      <c r="J8" s="10"/>
      <c r="K8" s="10"/>
      <c r="L8" s="10"/>
    </row>
    <row r="9" spans="1:12" x14ac:dyDescent="0.35">
      <c r="A9" s="6" t="s">
        <v>22</v>
      </c>
      <c r="B9" s="6" t="s">
        <v>23</v>
      </c>
      <c r="C9" s="7" t="s">
        <v>24</v>
      </c>
      <c r="D9" s="8">
        <v>60000</v>
      </c>
      <c r="E9" s="8">
        <v>20000</v>
      </c>
      <c r="F9" s="9">
        <f ca="1">TODAY()+(-5)</f>
        <v>46308</v>
      </c>
      <c r="G9" s="9">
        <f ca="1">TODAY()+(45)</f>
        <v>46358</v>
      </c>
      <c r="H9" s="10"/>
      <c r="I9" s="10"/>
      <c r="J9" s="10"/>
      <c r="K9" s="10"/>
      <c r="L9" s="10"/>
    </row>
    <row r="10" spans="1:12" x14ac:dyDescent="0.35">
      <c r="A10" s="6" t="s">
        <v>25</v>
      </c>
      <c r="B10" s="6" t="s">
        <v>19</v>
      </c>
      <c r="C10" s="7" t="s">
        <v>17</v>
      </c>
      <c r="D10" s="8">
        <v>15000</v>
      </c>
      <c r="E10" s="8">
        <v>14000</v>
      </c>
      <c r="F10" s="9">
        <f ca="1">TODAY()+(-20)</f>
        <v>46293</v>
      </c>
      <c r="G10" s="9">
        <f ca="1">TODAY()+(6)</f>
        <v>46319</v>
      </c>
      <c r="H10" s="10"/>
      <c r="I10" s="10"/>
      <c r="J10" s="10"/>
      <c r="K10" s="10"/>
      <c r="L10" s="10"/>
    </row>
    <row r="11" spans="1:12" x14ac:dyDescent="0.35">
      <c r="A11" s="6" t="s">
        <v>26</v>
      </c>
      <c r="B11" s="6" t="s">
        <v>16</v>
      </c>
      <c r="C11" s="7" t="s">
        <v>20</v>
      </c>
      <c r="D11" s="8">
        <v>25000</v>
      </c>
      <c r="E11" s="8">
        <v>25000</v>
      </c>
      <c r="F11" s="9">
        <f ca="1">TODAY()+(-18)</f>
        <v>46295</v>
      </c>
      <c r="G11" s="9">
        <f ca="1">TODAY()+(-2)</f>
        <v>46311</v>
      </c>
      <c r="H11" s="10"/>
      <c r="I11" s="10"/>
      <c r="J11" s="10"/>
      <c r="K11" s="10"/>
      <c r="L11" s="10"/>
    </row>
    <row r="12" spans="1:12" x14ac:dyDescent="0.35">
      <c r="A12" s="6" t="s">
        <v>27</v>
      </c>
      <c r="B12" s="6" t="s">
        <v>16</v>
      </c>
      <c r="C12" s="7" t="s">
        <v>24</v>
      </c>
      <c r="D12" s="8">
        <v>18000</v>
      </c>
      <c r="E12" s="8">
        <v>9000</v>
      </c>
      <c r="F12" s="9">
        <f ca="1">TODAY()+(-10)</f>
        <v>46303</v>
      </c>
      <c r="G12" s="9">
        <f ca="1">TODAY()+(30)</f>
        <v>46343</v>
      </c>
      <c r="H12" s="10"/>
      <c r="I12" s="10"/>
      <c r="J12" s="10"/>
      <c r="K12" s="10"/>
      <c r="L12" s="10"/>
    </row>
    <row r="13" spans="1:12" x14ac:dyDescent="0.35">
      <c r="A13" s="6" t="s">
        <v>28</v>
      </c>
      <c r="B13" s="6" t="s">
        <v>29</v>
      </c>
      <c r="C13" s="7" t="s">
        <v>17</v>
      </c>
      <c r="D13" s="8">
        <v>12000</v>
      </c>
      <c r="E13" s="8">
        <v>13000</v>
      </c>
      <c r="F13" s="9">
        <f ca="1">TODAY()+(-20)</f>
        <v>46293</v>
      </c>
      <c r="G13" s="9">
        <f ca="1">TODAY()+(10)</f>
        <v>46323</v>
      </c>
      <c r="H13" s="10"/>
      <c r="I13" s="10"/>
      <c r="J13" s="10"/>
      <c r="K13" s="10"/>
      <c r="L13" s="10"/>
    </row>
  </sheetData>
  <autoFilter ref="A5:L13" xr:uid="{00000000-0009-0000-0000-000000000000}"/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Projetos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Flavio Marques Azevedo</cp:lastModifiedBy>
  <cp:revision>0</cp:revision>
  <dcterms:created xsi:type="dcterms:W3CDTF">2026-09-08T18:09:30Z</dcterms:created>
  <dcterms:modified xsi:type="dcterms:W3CDTF">2026-10-18T22:29:16Z</dcterms:modified>
  <dc:language>en-US</dc:language>
</cp:coreProperties>
</file>